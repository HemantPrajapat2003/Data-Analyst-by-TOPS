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Univariate" sheetId="2" state="visible" r:id="rId4"/>
    <sheet name="Scatter_Plot" sheetId="3" state="visible" r:id="rId5"/>
    <sheet name="Pivot_Team_Venue" sheetId="4" state="visible" r:id="rId6"/>
  </sheets>
  <definedNames>
    <definedName function="false" hidden="true" localSheetId="0" name="_xlnm._FilterDatabase" vbProcedure="false">Data!$A$1:$K$41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<sst xmlns="http://schemas.openxmlformats.org/spreadsheetml/2006/main" count="250" uniqueCount="102">
  <si>
    <t xml:space="preserve">Match_ID</t>
  </si>
  <si>
    <t xml:space="preserve">Player</t>
  </si>
  <si>
    <t xml:space="preserve">Team</t>
  </si>
  <si>
    <t xml:space="preserve">Venue</t>
  </si>
  <si>
    <t xml:space="preserve">Runs</t>
  </si>
  <si>
    <t xml:space="preserve">Balls</t>
  </si>
  <si>
    <t xml:space="preserve">Fours</t>
  </si>
  <si>
    <t xml:space="preserve">Sixes</t>
  </si>
  <si>
    <t xml:space="preserve">Wickets</t>
  </si>
  <si>
    <t xml:space="preserve">Match_Result</t>
  </si>
  <si>
    <t xml:space="preserve">Outlier_Flag</t>
  </si>
  <si>
    <t xml:space="preserve">Note: sample dataset (40 batting records) created for this exercise. Runs in red = above mean + 2 SD (high outlier); blue = below mean - 2 SD.</t>
  </si>
  <si>
    <t xml:space="preserve">M01</t>
  </si>
  <si>
    <t xml:space="preserve">Player 01</t>
  </si>
  <si>
    <t xml:space="preserve">Mumbai Indians</t>
  </si>
  <si>
    <t xml:space="preserve">Narendra Modi (Ahmedabad)</t>
  </si>
  <si>
    <t xml:space="preserve">Won</t>
  </si>
  <si>
    <t xml:space="preserve">Player 02</t>
  </si>
  <si>
    <t xml:space="preserve">Chennai Super Kings</t>
  </si>
  <si>
    <t xml:space="preserve">Chepauk (Chennai)</t>
  </si>
  <si>
    <t xml:space="preserve">M02</t>
  </si>
  <si>
    <t xml:space="preserve">Player 03</t>
  </si>
  <si>
    <t xml:space="preserve">Gujarat Titans</t>
  </si>
  <si>
    <t xml:space="preserve">Lost</t>
  </si>
  <si>
    <t xml:space="preserve">Player 04</t>
  </si>
  <si>
    <t xml:space="preserve">Royal Challengers</t>
  </si>
  <si>
    <t xml:space="preserve">Wankhede (Mumbai)</t>
  </si>
  <si>
    <t xml:space="preserve">M03</t>
  </si>
  <si>
    <t xml:space="preserve">Player 05</t>
  </si>
  <si>
    <t xml:space="preserve">Player 06</t>
  </si>
  <si>
    <t xml:space="preserve">M04</t>
  </si>
  <si>
    <t xml:space="preserve">Player 07</t>
  </si>
  <si>
    <t xml:space="preserve">Player 08</t>
  </si>
  <si>
    <t xml:space="preserve">M05</t>
  </si>
  <si>
    <t xml:space="preserve">Player 09</t>
  </si>
  <si>
    <t xml:space="preserve">Player 10</t>
  </si>
  <si>
    <t xml:space="preserve">M06</t>
  </si>
  <si>
    <t xml:space="preserve">Player 11</t>
  </si>
  <si>
    <t xml:space="preserve">Player 12</t>
  </si>
  <si>
    <t xml:space="preserve">M07</t>
  </si>
  <si>
    <t xml:space="preserve">Player 13</t>
  </si>
  <si>
    <t xml:space="preserve">Player 14</t>
  </si>
  <si>
    <t xml:space="preserve">M08</t>
  </si>
  <si>
    <t xml:space="preserve">Player 15</t>
  </si>
  <si>
    <t xml:space="preserve">Player 16</t>
  </si>
  <si>
    <t xml:space="preserve">M09</t>
  </si>
  <si>
    <t xml:space="preserve">Player 17</t>
  </si>
  <si>
    <t xml:space="preserve">Player 18</t>
  </si>
  <si>
    <t xml:space="preserve">M10</t>
  </si>
  <si>
    <t xml:space="preserve">Player 19</t>
  </si>
  <si>
    <t xml:space="preserve">Player 20</t>
  </si>
  <si>
    <t xml:space="preserve">M11</t>
  </si>
  <si>
    <t xml:space="preserve">Player 21</t>
  </si>
  <si>
    <t xml:space="preserve">Player 22</t>
  </si>
  <si>
    <t xml:space="preserve">M12</t>
  </si>
  <si>
    <t xml:space="preserve">Player 23</t>
  </si>
  <si>
    <t xml:space="preserve">Player 24</t>
  </si>
  <si>
    <t xml:space="preserve">M13</t>
  </si>
  <si>
    <t xml:space="preserve">Player 25</t>
  </si>
  <si>
    <t xml:space="preserve">Player 26</t>
  </si>
  <si>
    <t xml:space="preserve">M14</t>
  </si>
  <si>
    <t xml:space="preserve">Player 27</t>
  </si>
  <si>
    <t xml:space="preserve">Player 28</t>
  </si>
  <si>
    <t xml:space="preserve">M15</t>
  </si>
  <si>
    <t xml:space="preserve">Player 29</t>
  </si>
  <si>
    <t xml:space="preserve">Player 30</t>
  </si>
  <si>
    <t xml:space="preserve">M16</t>
  </si>
  <si>
    <t xml:space="preserve">Player 31</t>
  </si>
  <si>
    <t xml:space="preserve">Player 32</t>
  </si>
  <si>
    <t xml:space="preserve">M17</t>
  </si>
  <si>
    <t xml:space="preserve">Player 33</t>
  </si>
  <si>
    <t xml:space="preserve">Player 34</t>
  </si>
  <si>
    <t xml:space="preserve">M18</t>
  </si>
  <si>
    <t xml:space="preserve">Player 35</t>
  </si>
  <si>
    <t xml:space="preserve">Player 36</t>
  </si>
  <si>
    <t xml:space="preserve">M19</t>
  </si>
  <si>
    <t xml:space="preserve">Player 37</t>
  </si>
  <si>
    <t xml:space="preserve">Player 38</t>
  </si>
  <si>
    <t xml:space="preserve">M20</t>
  </si>
  <si>
    <t xml:space="preserve">Player 39</t>
  </si>
  <si>
    <t xml:space="preserve">Player 40</t>
  </si>
  <si>
    <t xml:space="preserve">Statistic (Runs scored)</t>
  </si>
  <si>
    <t xml:space="preserve">Value</t>
  </si>
  <si>
    <t xml:space="preserve">Count</t>
  </si>
  <si>
    <t xml:space="preserve">Mean</t>
  </si>
  <si>
    <t xml:space="preserve">Median</t>
  </si>
  <si>
    <t xml:space="preserve">Minimum</t>
  </si>
  <si>
    <t xml:space="preserve">Maximum</t>
  </si>
  <si>
    <t xml:space="preserve">Standard deviation</t>
  </si>
  <si>
    <t xml:space="preserve">Range (Max - Min)</t>
  </si>
  <si>
    <t xml:space="preserve">Upper outlier threshold (Mean + 2 SD)</t>
  </si>
  <si>
    <t xml:space="preserve">Lower outlier threshold (Mean - 2 SD)</t>
  </si>
  <si>
    <t xml:space="preserve">Number of outliers found</t>
  </si>
  <si>
    <t xml:space="preserve">Rule used: a score is an outlier if it is more than 2 standard deviations away from the mean.</t>
  </si>
  <si>
    <t xml:space="preserve">Correlation (balls faced vs runs scored):</t>
  </si>
  <si>
    <t xml:space="preserve">Close to +1 = strong positive relationship: the more balls a batter faces, the more runs they score.</t>
  </si>
  <si>
    <t xml:space="preserve">Table 1: Average runs per player by Team and Venue</t>
  </si>
  <si>
    <t xml:space="preserve">Team \ Venue</t>
  </si>
  <si>
    <t xml:space="preserve">All Venues</t>
  </si>
  <si>
    <t xml:space="preserve">All Teams</t>
  </si>
  <si>
    <t xml:space="preserve">Table 2: Total runs by Team and Venue</t>
  </si>
  <si>
    <t xml:space="preserve">Built with SUMIFS/AVERAGEIFS formulas so it behaves like a pivot table. Steps to make a real PivotTable are in README.txt.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</si>
</sst>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1F4E78"/>
      </font>
      <fill>
        <patternFill>
          <bgColor rgb="FFBDD7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Balls Faced vs Runs Scored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"Players"</c:f>
              <c:strCache>
                <c:ptCount val="1"/>
                <c:pt idx="0">
                  <c:v>Players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7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Data!$F$2:$F$41</c:f>
              <c:numCache>
                <c:formatCode>General</c:formatCode>
                <c:ptCount val="40"/>
                <c:pt idx="0">
                  <c:v>41</c:v>
                </c:pt>
                <c:pt idx="1">
                  <c:v>20</c:v>
                </c:pt>
                <c:pt idx="2">
                  <c:v>2</c:v>
                </c:pt>
                <c:pt idx="3">
                  <c:v>25</c:v>
                </c:pt>
                <c:pt idx="4">
                  <c:v>6</c:v>
                </c:pt>
                <c:pt idx="5">
                  <c:v>21</c:v>
                </c:pt>
                <c:pt idx="6">
                  <c:v>18</c:v>
                </c:pt>
                <c:pt idx="7">
                  <c:v>9</c:v>
                </c:pt>
                <c:pt idx="8">
                  <c:v>16</c:v>
                </c:pt>
                <c:pt idx="9">
                  <c:v>62</c:v>
                </c:pt>
                <c:pt idx="10">
                  <c:v>15</c:v>
                </c:pt>
                <c:pt idx="11">
                  <c:v>6</c:v>
                </c:pt>
                <c:pt idx="12">
                  <c:v>17</c:v>
                </c:pt>
                <c:pt idx="13">
                  <c:v>2</c:v>
                </c:pt>
                <c:pt idx="14">
                  <c:v>39</c:v>
                </c:pt>
                <c:pt idx="15">
                  <c:v>16</c:v>
                </c:pt>
                <c:pt idx="16">
                  <c:v>25</c:v>
                </c:pt>
                <c:pt idx="17">
                  <c:v>31</c:v>
                </c:pt>
                <c:pt idx="18">
                  <c:v>15</c:v>
                </c:pt>
                <c:pt idx="19">
                  <c:v>8</c:v>
                </c:pt>
                <c:pt idx="20">
                  <c:v>41</c:v>
                </c:pt>
                <c:pt idx="21">
                  <c:v>25</c:v>
                </c:pt>
                <c:pt idx="22">
                  <c:v>8</c:v>
                </c:pt>
                <c:pt idx="23">
                  <c:v>32</c:v>
                </c:pt>
                <c:pt idx="24">
                  <c:v>23</c:v>
                </c:pt>
                <c:pt idx="25">
                  <c:v>39</c:v>
                </c:pt>
                <c:pt idx="26">
                  <c:v>58</c:v>
                </c:pt>
                <c:pt idx="27">
                  <c:v>11</c:v>
                </c:pt>
                <c:pt idx="28">
                  <c:v>33</c:v>
                </c:pt>
                <c:pt idx="29">
                  <c:v>4</c:v>
                </c:pt>
                <c:pt idx="30">
                  <c:v>53</c:v>
                </c:pt>
                <c:pt idx="31">
                  <c:v>19</c:v>
                </c:pt>
                <c:pt idx="32">
                  <c:v>10</c:v>
                </c:pt>
                <c:pt idx="33">
                  <c:v>29</c:v>
                </c:pt>
                <c:pt idx="34">
                  <c:v>2</c:v>
                </c:pt>
                <c:pt idx="35">
                  <c:v>44</c:v>
                </c:pt>
                <c:pt idx="36">
                  <c:v>20</c:v>
                </c:pt>
                <c:pt idx="37">
                  <c:v>16</c:v>
                </c:pt>
                <c:pt idx="38">
                  <c:v>18</c:v>
                </c:pt>
                <c:pt idx="39">
                  <c:v>31</c:v>
                </c:pt>
              </c:numCache>
            </c:numRef>
          </c:xVal>
          <c:yVal>
            <c:numRef>
              <c:f>Data!$E$2:$E$41</c:f>
              <c:numCache>
                <c:formatCode>General</c:formatCode>
                <c:ptCount val="40"/>
                <c:pt idx="0">
                  <c:v>48</c:v>
                </c:pt>
                <c:pt idx="1">
                  <c:v>26</c:v>
                </c:pt>
                <c:pt idx="2">
                  <c:v>3</c:v>
                </c:pt>
                <c:pt idx="3">
                  <c:v>46</c:v>
                </c:pt>
                <c:pt idx="4">
                  <c:v>10</c:v>
                </c:pt>
                <c:pt idx="5">
                  <c:v>26</c:v>
                </c:pt>
                <c:pt idx="6">
                  <c:v>24</c:v>
                </c:pt>
                <c:pt idx="7">
                  <c:v>15</c:v>
                </c:pt>
                <c:pt idx="8">
                  <c:v>30</c:v>
                </c:pt>
                <c:pt idx="9">
                  <c:v>118</c:v>
                </c:pt>
                <c:pt idx="10">
                  <c:v>24</c:v>
                </c:pt>
                <c:pt idx="11">
                  <c:v>10</c:v>
                </c:pt>
                <c:pt idx="12">
                  <c:v>24</c:v>
                </c:pt>
                <c:pt idx="13">
                  <c:v>2</c:v>
                </c:pt>
                <c:pt idx="14">
                  <c:v>49</c:v>
                </c:pt>
                <c:pt idx="15">
                  <c:v>22</c:v>
                </c:pt>
                <c:pt idx="16">
                  <c:v>40</c:v>
                </c:pt>
                <c:pt idx="17">
                  <c:v>36</c:v>
                </c:pt>
                <c:pt idx="18">
                  <c:v>24</c:v>
                </c:pt>
                <c:pt idx="19">
                  <c:v>12</c:v>
                </c:pt>
                <c:pt idx="20">
                  <c:v>50</c:v>
                </c:pt>
                <c:pt idx="21">
                  <c:v>30</c:v>
                </c:pt>
                <c:pt idx="22">
                  <c:v>14</c:v>
                </c:pt>
                <c:pt idx="23">
                  <c:v>48</c:v>
                </c:pt>
                <c:pt idx="24">
                  <c:v>29</c:v>
                </c:pt>
                <c:pt idx="25">
                  <c:v>63</c:v>
                </c:pt>
                <c:pt idx="26">
                  <c:v>109</c:v>
                </c:pt>
                <c:pt idx="27">
                  <c:v>15</c:v>
                </c:pt>
                <c:pt idx="28">
                  <c:v>43</c:v>
                </c:pt>
                <c:pt idx="29">
                  <c:v>6</c:v>
                </c:pt>
                <c:pt idx="30">
                  <c:v>74</c:v>
                </c:pt>
                <c:pt idx="31">
                  <c:v>28</c:v>
                </c:pt>
                <c:pt idx="32">
                  <c:v>18</c:v>
                </c:pt>
                <c:pt idx="33">
                  <c:v>52</c:v>
                </c:pt>
                <c:pt idx="34">
                  <c:v>2</c:v>
                </c:pt>
                <c:pt idx="35">
                  <c:v>55</c:v>
                </c:pt>
                <c:pt idx="36">
                  <c:v>23</c:v>
                </c:pt>
                <c:pt idx="37">
                  <c:v>29</c:v>
                </c:pt>
                <c:pt idx="38">
                  <c:v>28</c:v>
                </c:pt>
                <c:pt idx="39">
                  <c:v>44</c:v>
                </c:pt>
              </c:numCache>
            </c:numRef>
          </c:yVal>
          <c:smooth val="1"/>
        </c:ser>
        <c:axId val="56820023"/>
        <c:axId val="24223559"/>
      </c:scatterChart>
      <c:valAx>
        <c:axId val="5682002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Balls faced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223559"/>
        <c:crosses val="autoZero"/>
        <c:crossBetween val="midCat"/>
      </c:valAx>
      <c:valAx>
        <c:axId val="242235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Runs scored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82002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10</xdr:col>
      <xdr:colOff>364680</xdr:colOff>
      <xdr:row>21</xdr:row>
      <xdr:rowOff>170640</xdr:rowOff>
    </xdr:to>
    <xdr:graphicFrame>
      <xdr:nvGraphicFramePr>
        <xdr:cNvPr id="0" name="Chart 1"/>
        <xdr:cNvGraphicFramePr/>
      </xdr:nvGraphicFramePr>
      <xdr:xfrm>
        <a:off x="0" y="5716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8" min="5" style="0" width="8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3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 t="s">
        <v>11</v>
      </c>
    </row>
    <row r="2" customFormat="false" ht="15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n">
        <v>48</v>
      </c>
      <c r="F2" s="3" t="n">
        <v>41</v>
      </c>
      <c r="G2" s="3" t="n">
        <v>4</v>
      </c>
      <c r="H2" s="3" t="n">
        <v>0</v>
      </c>
      <c r="I2" s="3" t="n">
        <v>1</v>
      </c>
      <c r="J2" s="3" t="s">
        <v>16</v>
      </c>
      <c r="K2" s="3" t="str">
        <f aca="false">IF(OR(E2&gt;Univariate!$B$10,E2&lt;Univariate!$B$11),"Outlier","")</f>
        <v/>
      </c>
    </row>
    <row r="3" customFormat="false" ht="15" hidden="false" customHeight="false" outlineLevel="0" collapsed="false">
      <c r="A3" s="3" t="s">
        <v>12</v>
      </c>
      <c r="B3" s="3" t="s">
        <v>17</v>
      </c>
      <c r="C3" s="3" t="s">
        <v>18</v>
      </c>
      <c r="D3" s="3" t="s">
        <v>19</v>
      </c>
      <c r="E3" s="3" t="n">
        <v>26</v>
      </c>
      <c r="F3" s="3" t="n">
        <v>20</v>
      </c>
      <c r="G3" s="3" t="n">
        <v>1</v>
      </c>
      <c r="H3" s="3" t="n">
        <v>0</v>
      </c>
      <c r="I3" s="3" t="n">
        <v>0</v>
      </c>
      <c r="J3" s="3" t="s">
        <v>16</v>
      </c>
      <c r="K3" s="3" t="str">
        <f aca="false">IF(OR(E3&gt;Univariate!$B$10,E3&lt;Univariate!$B$11),"Outlier","")</f>
        <v/>
      </c>
    </row>
    <row r="4" customFormat="false" ht="15" hidden="false" customHeight="false" outlineLevel="0" collapsed="false">
      <c r="A4" s="3" t="s">
        <v>20</v>
      </c>
      <c r="B4" s="3" t="s">
        <v>21</v>
      </c>
      <c r="C4" s="3" t="s">
        <v>22</v>
      </c>
      <c r="D4" s="3" t="s">
        <v>19</v>
      </c>
      <c r="E4" s="3" t="n">
        <v>3</v>
      </c>
      <c r="F4" s="3" t="n">
        <v>2</v>
      </c>
      <c r="G4" s="3" t="n">
        <v>0</v>
      </c>
      <c r="H4" s="3" t="n">
        <v>0</v>
      </c>
      <c r="I4" s="3" t="n">
        <v>0</v>
      </c>
      <c r="J4" s="3" t="s">
        <v>23</v>
      </c>
      <c r="K4" s="3" t="str">
        <f aca="false">IF(OR(E4&gt;Univariate!$B$10,E4&lt;Univariate!$B$11),"Outlier","")</f>
        <v/>
      </c>
    </row>
    <row r="5" customFormat="false" ht="15" hidden="false" customHeight="false" outlineLevel="0" collapsed="false">
      <c r="A5" s="3" t="s">
        <v>20</v>
      </c>
      <c r="B5" s="3" t="s">
        <v>24</v>
      </c>
      <c r="C5" s="3" t="s">
        <v>25</v>
      </c>
      <c r="D5" s="3" t="s">
        <v>26</v>
      </c>
      <c r="E5" s="3" t="n">
        <v>46</v>
      </c>
      <c r="F5" s="3" t="n">
        <v>25</v>
      </c>
      <c r="G5" s="3" t="n">
        <v>2</v>
      </c>
      <c r="H5" s="3" t="n">
        <v>2</v>
      </c>
      <c r="I5" s="3" t="n">
        <v>0</v>
      </c>
      <c r="J5" s="3" t="s">
        <v>23</v>
      </c>
      <c r="K5" s="3" t="str">
        <f aca="false">IF(OR(E5&gt;Univariate!$B$10,E5&lt;Univariate!$B$11),"Outlier","")</f>
        <v/>
      </c>
    </row>
    <row r="6" customFormat="false" ht="15" hidden="false" customHeight="false" outlineLevel="0" collapsed="false">
      <c r="A6" s="3" t="s">
        <v>27</v>
      </c>
      <c r="B6" s="3" t="s">
        <v>28</v>
      </c>
      <c r="C6" s="3" t="s">
        <v>14</v>
      </c>
      <c r="D6" s="3" t="s">
        <v>26</v>
      </c>
      <c r="E6" s="3" t="n">
        <v>10</v>
      </c>
      <c r="F6" s="3" t="n">
        <v>6</v>
      </c>
      <c r="G6" s="3" t="n">
        <v>0</v>
      </c>
      <c r="H6" s="3" t="n">
        <v>0</v>
      </c>
      <c r="I6" s="3" t="n">
        <v>1</v>
      </c>
      <c r="J6" s="3" t="s">
        <v>16</v>
      </c>
      <c r="K6" s="3" t="str">
        <f aca="false">IF(OR(E6&gt;Univariate!$B$10,E6&lt;Univariate!$B$11),"Outlier","")</f>
        <v/>
      </c>
    </row>
    <row r="7" customFormat="false" ht="15" hidden="false" customHeight="false" outlineLevel="0" collapsed="false">
      <c r="A7" s="3" t="s">
        <v>27</v>
      </c>
      <c r="B7" s="3" t="s">
        <v>29</v>
      </c>
      <c r="C7" s="3" t="s">
        <v>18</v>
      </c>
      <c r="D7" s="3" t="s">
        <v>15</v>
      </c>
      <c r="E7" s="3" t="n">
        <v>26</v>
      </c>
      <c r="F7" s="3" t="n">
        <v>21</v>
      </c>
      <c r="G7" s="3" t="n">
        <v>2</v>
      </c>
      <c r="H7" s="3" t="n">
        <v>0</v>
      </c>
      <c r="I7" s="3" t="n">
        <v>1</v>
      </c>
      <c r="J7" s="3" t="s">
        <v>16</v>
      </c>
      <c r="K7" s="3" t="str">
        <f aca="false">IF(OR(E7&gt;Univariate!$B$10,E7&lt;Univariate!$B$11),"Outlier","")</f>
        <v/>
      </c>
    </row>
    <row r="8" customFormat="false" ht="15" hidden="false" customHeight="false" outlineLevel="0" collapsed="false">
      <c r="A8" s="3" t="s">
        <v>30</v>
      </c>
      <c r="B8" s="3" t="s">
        <v>31</v>
      </c>
      <c r="C8" s="3" t="s">
        <v>22</v>
      </c>
      <c r="D8" s="3" t="s">
        <v>15</v>
      </c>
      <c r="E8" s="3" t="n">
        <v>24</v>
      </c>
      <c r="F8" s="3" t="n">
        <v>18</v>
      </c>
      <c r="G8" s="3" t="n">
        <v>2</v>
      </c>
      <c r="H8" s="3" t="n">
        <v>0</v>
      </c>
      <c r="I8" s="3" t="n">
        <v>0</v>
      </c>
      <c r="J8" s="3" t="s">
        <v>16</v>
      </c>
      <c r="K8" s="3" t="str">
        <f aca="false">IF(OR(E8&gt;Univariate!$B$10,E8&lt;Univariate!$B$11),"Outlier","")</f>
        <v/>
      </c>
    </row>
    <row r="9" customFormat="false" ht="15" hidden="false" customHeight="false" outlineLevel="0" collapsed="false">
      <c r="A9" s="3" t="s">
        <v>30</v>
      </c>
      <c r="B9" s="3" t="s">
        <v>32</v>
      </c>
      <c r="C9" s="3" t="s">
        <v>25</v>
      </c>
      <c r="D9" s="3" t="s">
        <v>26</v>
      </c>
      <c r="E9" s="3" t="n">
        <v>15</v>
      </c>
      <c r="F9" s="3" t="n">
        <v>9</v>
      </c>
      <c r="G9" s="3" t="n">
        <v>1</v>
      </c>
      <c r="H9" s="3" t="n">
        <v>0</v>
      </c>
      <c r="I9" s="3" t="n">
        <v>1</v>
      </c>
      <c r="J9" s="3" t="s">
        <v>23</v>
      </c>
      <c r="K9" s="3" t="str">
        <f aca="false">IF(OR(E9&gt;Univariate!$B$10,E9&lt;Univariate!$B$11),"Outlier","")</f>
        <v/>
      </c>
    </row>
    <row r="10" customFormat="false" ht="15" hidden="false" customHeight="false" outlineLevel="0" collapsed="false">
      <c r="A10" s="3" t="s">
        <v>33</v>
      </c>
      <c r="B10" s="3" t="s">
        <v>34</v>
      </c>
      <c r="C10" s="3" t="s">
        <v>14</v>
      </c>
      <c r="D10" s="3" t="s">
        <v>15</v>
      </c>
      <c r="E10" s="3" t="n">
        <v>30</v>
      </c>
      <c r="F10" s="3" t="n">
        <v>16</v>
      </c>
      <c r="G10" s="3" t="n">
        <v>2</v>
      </c>
      <c r="H10" s="3" t="n">
        <v>0</v>
      </c>
      <c r="I10" s="3" t="n">
        <v>3</v>
      </c>
      <c r="J10" s="3" t="s">
        <v>23</v>
      </c>
      <c r="K10" s="3" t="str">
        <f aca="false">IF(OR(E10&gt;Univariate!$B$10,E10&lt;Univariate!$B$11),"Outlier","")</f>
        <v/>
      </c>
    </row>
    <row r="11" customFormat="false" ht="15" hidden="false" customHeight="false" outlineLevel="0" collapsed="false">
      <c r="A11" s="3" t="s">
        <v>33</v>
      </c>
      <c r="B11" s="3" t="s">
        <v>35</v>
      </c>
      <c r="C11" s="3" t="s">
        <v>18</v>
      </c>
      <c r="D11" s="3" t="s">
        <v>26</v>
      </c>
      <c r="E11" s="3" t="n">
        <v>118</v>
      </c>
      <c r="F11" s="3" t="n">
        <v>62</v>
      </c>
      <c r="G11" s="3" t="n">
        <v>11</v>
      </c>
      <c r="H11" s="3" t="n">
        <v>9</v>
      </c>
      <c r="I11" s="3" t="n">
        <v>0</v>
      </c>
      <c r="J11" s="3" t="s">
        <v>23</v>
      </c>
      <c r="K11" s="3" t="str">
        <f aca="false">IF(OR(E11&gt;Univariate!$B$10,E11&lt;Univariate!$B$11),"Outlier","")</f>
        <v>Outlier</v>
      </c>
    </row>
    <row r="12" customFormat="false" ht="15" hidden="false" customHeight="false" outlineLevel="0" collapsed="false">
      <c r="A12" s="3" t="s">
        <v>36</v>
      </c>
      <c r="B12" s="3" t="s">
        <v>37</v>
      </c>
      <c r="C12" s="3" t="s">
        <v>22</v>
      </c>
      <c r="D12" s="3" t="s">
        <v>15</v>
      </c>
      <c r="E12" s="3" t="n">
        <v>24</v>
      </c>
      <c r="F12" s="3" t="n">
        <v>15</v>
      </c>
      <c r="G12" s="3" t="n">
        <v>2</v>
      </c>
      <c r="H12" s="3" t="n">
        <v>1</v>
      </c>
      <c r="I12" s="3" t="n">
        <v>0</v>
      </c>
      <c r="J12" s="3" t="s">
        <v>23</v>
      </c>
      <c r="K12" s="3" t="str">
        <f aca="false">IF(OR(E12&gt;Univariate!$B$10,E12&lt;Univariate!$B$11),"Outlier","")</f>
        <v/>
      </c>
    </row>
    <row r="13" customFormat="false" ht="15" hidden="false" customHeight="false" outlineLevel="0" collapsed="false">
      <c r="A13" s="3" t="s">
        <v>36</v>
      </c>
      <c r="B13" s="3" t="s">
        <v>38</v>
      </c>
      <c r="C13" s="3" t="s">
        <v>25</v>
      </c>
      <c r="D13" s="3" t="s">
        <v>19</v>
      </c>
      <c r="E13" s="3" t="n">
        <v>10</v>
      </c>
      <c r="F13" s="3" t="n">
        <v>6</v>
      </c>
      <c r="G13" s="3" t="n">
        <v>0</v>
      </c>
      <c r="H13" s="3" t="n">
        <v>0</v>
      </c>
      <c r="I13" s="3" t="n">
        <v>2</v>
      </c>
      <c r="J13" s="3" t="s">
        <v>23</v>
      </c>
      <c r="K13" s="3" t="str">
        <f aca="false">IF(OR(E13&gt;Univariate!$B$10,E13&lt;Univariate!$B$11),"Outlier","")</f>
        <v/>
      </c>
    </row>
    <row r="14" customFormat="false" ht="15" hidden="false" customHeight="false" outlineLevel="0" collapsed="false">
      <c r="A14" s="3" t="s">
        <v>39</v>
      </c>
      <c r="B14" s="3" t="s">
        <v>40</v>
      </c>
      <c r="C14" s="3" t="s">
        <v>14</v>
      </c>
      <c r="D14" s="3" t="s">
        <v>15</v>
      </c>
      <c r="E14" s="3" t="n">
        <v>24</v>
      </c>
      <c r="F14" s="3" t="n">
        <v>17</v>
      </c>
      <c r="G14" s="3" t="n">
        <v>2</v>
      </c>
      <c r="H14" s="3" t="n">
        <v>0</v>
      </c>
      <c r="I14" s="3" t="n">
        <v>1</v>
      </c>
      <c r="J14" s="3" t="s">
        <v>16</v>
      </c>
      <c r="K14" s="3" t="str">
        <f aca="false">IF(OR(E14&gt;Univariate!$B$10,E14&lt;Univariate!$B$11),"Outlier","")</f>
        <v/>
      </c>
    </row>
    <row r="15" customFormat="false" ht="15" hidden="false" customHeight="false" outlineLevel="0" collapsed="false">
      <c r="A15" s="3" t="s">
        <v>39</v>
      </c>
      <c r="B15" s="3" t="s">
        <v>41</v>
      </c>
      <c r="C15" s="3" t="s">
        <v>18</v>
      </c>
      <c r="D15" s="3" t="s">
        <v>15</v>
      </c>
      <c r="E15" s="3" t="n">
        <v>2</v>
      </c>
      <c r="F15" s="3" t="n">
        <v>2</v>
      </c>
      <c r="G15" s="3" t="n">
        <v>0</v>
      </c>
      <c r="H15" s="3" t="n">
        <v>0</v>
      </c>
      <c r="I15" s="3" t="n">
        <v>0</v>
      </c>
      <c r="J15" s="3" t="s">
        <v>23</v>
      </c>
      <c r="K15" s="3" t="str">
        <f aca="false">IF(OR(E15&gt;Univariate!$B$10,E15&lt;Univariate!$B$11),"Outlier","")</f>
        <v/>
      </c>
    </row>
    <row r="16" customFormat="false" ht="15" hidden="false" customHeight="false" outlineLevel="0" collapsed="false">
      <c r="A16" s="3" t="s">
        <v>42</v>
      </c>
      <c r="B16" s="3" t="s">
        <v>43</v>
      </c>
      <c r="C16" s="3" t="s">
        <v>22</v>
      </c>
      <c r="D16" s="3" t="s">
        <v>15</v>
      </c>
      <c r="E16" s="3" t="n">
        <v>49</v>
      </c>
      <c r="F16" s="3" t="n">
        <v>39</v>
      </c>
      <c r="G16" s="3" t="n">
        <v>4</v>
      </c>
      <c r="H16" s="3" t="n">
        <v>1</v>
      </c>
      <c r="I16" s="3" t="n">
        <v>0</v>
      </c>
      <c r="J16" s="3" t="s">
        <v>23</v>
      </c>
      <c r="K16" s="3" t="str">
        <f aca="false">IF(OR(E16&gt;Univariate!$B$10,E16&lt;Univariate!$B$11),"Outlier","")</f>
        <v/>
      </c>
    </row>
    <row r="17" customFormat="false" ht="15" hidden="false" customHeight="false" outlineLevel="0" collapsed="false">
      <c r="A17" s="3" t="s">
        <v>42</v>
      </c>
      <c r="B17" s="3" t="s">
        <v>44</v>
      </c>
      <c r="C17" s="3" t="s">
        <v>25</v>
      </c>
      <c r="D17" s="3" t="s">
        <v>19</v>
      </c>
      <c r="E17" s="3" t="n">
        <v>22</v>
      </c>
      <c r="F17" s="3" t="n">
        <v>16</v>
      </c>
      <c r="G17" s="3" t="n">
        <v>1</v>
      </c>
      <c r="H17" s="3" t="n">
        <v>0</v>
      </c>
      <c r="I17" s="3" t="n">
        <v>1</v>
      </c>
      <c r="J17" s="3" t="s">
        <v>16</v>
      </c>
      <c r="K17" s="3" t="str">
        <f aca="false">IF(OR(E17&gt;Univariate!$B$10,E17&lt;Univariate!$B$11),"Outlier","")</f>
        <v/>
      </c>
    </row>
    <row r="18" customFormat="false" ht="15" hidden="false" customHeight="false" outlineLevel="0" collapsed="false">
      <c r="A18" s="3" t="s">
        <v>45</v>
      </c>
      <c r="B18" s="3" t="s">
        <v>46</v>
      </c>
      <c r="C18" s="3" t="s">
        <v>14</v>
      </c>
      <c r="D18" s="3" t="s">
        <v>26</v>
      </c>
      <c r="E18" s="3" t="n">
        <v>40</v>
      </c>
      <c r="F18" s="3" t="n">
        <v>25</v>
      </c>
      <c r="G18" s="3" t="n">
        <v>2</v>
      </c>
      <c r="H18" s="3" t="n">
        <v>1</v>
      </c>
      <c r="I18" s="3" t="n">
        <v>0</v>
      </c>
      <c r="J18" s="3" t="s">
        <v>23</v>
      </c>
      <c r="K18" s="3" t="str">
        <f aca="false">IF(OR(E18&gt;Univariate!$B$10,E18&lt;Univariate!$B$11),"Outlier","")</f>
        <v/>
      </c>
    </row>
    <row r="19" customFormat="false" ht="15" hidden="false" customHeight="false" outlineLevel="0" collapsed="false">
      <c r="A19" s="3" t="s">
        <v>45</v>
      </c>
      <c r="B19" s="3" t="s">
        <v>47</v>
      </c>
      <c r="C19" s="3" t="s">
        <v>18</v>
      </c>
      <c r="D19" s="3" t="s">
        <v>15</v>
      </c>
      <c r="E19" s="3" t="n">
        <v>36</v>
      </c>
      <c r="F19" s="3" t="n">
        <v>31</v>
      </c>
      <c r="G19" s="3" t="n">
        <v>3</v>
      </c>
      <c r="H19" s="3" t="n">
        <v>1</v>
      </c>
      <c r="I19" s="3" t="n">
        <v>1</v>
      </c>
      <c r="J19" s="3" t="s">
        <v>23</v>
      </c>
      <c r="K19" s="3" t="str">
        <f aca="false">IF(OR(E19&gt;Univariate!$B$10,E19&lt;Univariate!$B$11),"Outlier","")</f>
        <v/>
      </c>
    </row>
    <row r="20" customFormat="false" ht="15" hidden="false" customHeight="false" outlineLevel="0" collapsed="false">
      <c r="A20" s="3" t="s">
        <v>48</v>
      </c>
      <c r="B20" s="3" t="s">
        <v>49</v>
      </c>
      <c r="C20" s="3" t="s">
        <v>22</v>
      </c>
      <c r="D20" s="3" t="s">
        <v>26</v>
      </c>
      <c r="E20" s="3" t="n">
        <v>24</v>
      </c>
      <c r="F20" s="3" t="n">
        <v>15</v>
      </c>
      <c r="G20" s="3" t="n">
        <v>2</v>
      </c>
      <c r="H20" s="3" t="n">
        <v>0</v>
      </c>
      <c r="I20" s="3" t="n">
        <v>3</v>
      </c>
      <c r="J20" s="3" t="s">
        <v>23</v>
      </c>
      <c r="K20" s="3" t="str">
        <f aca="false">IF(OR(E20&gt;Univariate!$B$10,E20&lt;Univariate!$B$11),"Outlier","")</f>
        <v/>
      </c>
    </row>
    <row r="21" customFormat="false" ht="15" hidden="false" customHeight="false" outlineLevel="0" collapsed="false">
      <c r="A21" s="3" t="s">
        <v>48</v>
      </c>
      <c r="B21" s="3" t="s">
        <v>50</v>
      </c>
      <c r="C21" s="3" t="s">
        <v>25</v>
      </c>
      <c r="D21" s="3" t="s">
        <v>15</v>
      </c>
      <c r="E21" s="3" t="n">
        <v>12</v>
      </c>
      <c r="F21" s="3" t="n">
        <v>8</v>
      </c>
      <c r="G21" s="3" t="n">
        <v>0</v>
      </c>
      <c r="H21" s="3" t="n">
        <v>0</v>
      </c>
      <c r="I21" s="3" t="n">
        <v>0</v>
      </c>
      <c r="J21" s="3" t="s">
        <v>16</v>
      </c>
      <c r="K21" s="3" t="str">
        <f aca="false">IF(OR(E21&gt;Univariate!$B$10,E21&lt;Univariate!$B$11),"Outlier","")</f>
        <v/>
      </c>
    </row>
    <row r="22" customFormat="false" ht="15" hidden="false" customHeight="false" outlineLevel="0" collapsed="false">
      <c r="A22" s="3" t="s">
        <v>51</v>
      </c>
      <c r="B22" s="3" t="s">
        <v>52</v>
      </c>
      <c r="C22" s="3" t="s">
        <v>14</v>
      </c>
      <c r="D22" s="3" t="s">
        <v>26</v>
      </c>
      <c r="E22" s="3" t="n">
        <v>50</v>
      </c>
      <c r="F22" s="3" t="n">
        <v>41</v>
      </c>
      <c r="G22" s="3" t="n">
        <v>4</v>
      </c>
      <c r="H22" s="3" t="n">
        <v>1</v>
      </c>
      <c r="I22" s="3" t="n">
        <v>1</v>
      </c>
      <c r="J22" s="3" t="s">
        <v>16</v>
      </c>
      <c r="K22" s="3" t="str">
        <f aca="false">IF(OR(E22&gt;Univariate!$B$10,E22&lt;Univariate!$B$11),"Outlier","")</f>
        <v/>
      </c>
    </row>
    <row r="23" customFormat="false" ht="15" hidden="false" customHeight="false" outlineLevel="0" collapsed="false">
      <c r="A23" s="3" t="s">
        <v>51</v>
      </c>
      <c r="B23" s="3" t="s">
        <v>53</v>
      </c>
      <c r="C23" s="3" t="s">
        <v>18</v>
      </c>
      <c r="D23" s="3" t="s">
        <v>19</v>
      </c>
      <c r="E23" s="3" t="n">
        <v>30</v>
      </c>
      <c r="F23" s="3" t="n">
        <v>25</v>
      </c>
      <c r="G23" s="3" t="n">
        <v>2</v>
      </c>
      <c r="H23" s="3" t="n">
        <v>0</v>
      </c>
      <c r="I23" s="3" t="n">
        <v>3</v>
      </c>
      <c r="J23" s="3" t="s">
        <v>16</v>
      </c>
      <c r="K23" s="3" t="str">
        <f aca="false">IF(OR(E23&gt;Univariate!$B$10,E23&lt;Univariate!$B$11),"Outlier","")</f>
        <v/>
      </c>
    </row>
    <row r="24" customFormat="false" ht="15" hidden="false" customHeight="false" outlineLevel="0" collapsed="false">
      <c r="A24" s="3" t="s">
        <v>54</v>
      </c>
      <c r="B24" s="3" t="s">
        <v>55</v>
      </c>
      <c r="C24" s="3" t="s">
        <v>22</v>
      </c>
      <c r="D24" s="3" t="s">
        <v>19</v>
      </c>
      <c r="E24" s="3" t="n">
        <v>14</v>
      </c>
      <c r="F24" s="3" t="n">
        <v>8</v>
      </c>
      <c r="G24" s="3" t="n">
        <v>1</v>
      </c>
      <c r="H24" s="3" t="n">
        <v>0</v>
      </c>
      <c r="I24" s="3" t="n">
        <v>0</v>
      </c>
      <c r="J24" s="3" t="s">
        <v>23</v>
      </c>
      <c r="K24" s="3" t="str">
        <f aca="false">IF(OR(E24&gt;Univariate!$B$10,E24&lt;Univariate!$B$11),"Outlier","")</f>
        <v/>
      </c>
    </row>
    <row r="25" customFormat="false" ht="15" hidden="false" customHeight="false" outlineLevel="0" collapsed="false">
      <c r="A25" s="3" t="s">
        <v>54</v>
      </c>
      <c r="B25" s="3" t="s">
        <v>56</v>
      </c>
      <c r="C25" s="3" t="s">
        <v>25</v>
      </c>
      <c r="D25" s="3" t="s">
        <v>15</v>
      </c>
      <c r="E25" s="3" t="n">
        <v>48</v>
      </c>
      <c r="F25" s="3" t="n">
        <v>32</v>
      </c>
      <c r="G25" s="3" t="n">
        <v>3</v>
      </c>
      <c r="H25" s="3" t="n">
        <v>1</v>
      </c>
      <c r="I25" s="3" t="n">
        <v>2</v>
      </c>
      <c r="J25" s="3" t="s">
        <v>23</v>
      </c>
      <c r="K25" s="3" t="str">
        <f aca="false">IF(OR(E25&gt;Univariate!$B$10,E25&lt;Univariate!$B$11),"Outlier","")</f>
        <v/>
      </c>
    </row>
    <row r="26" customFormat="false" ht="15" hidden="false" customHeight="false" outlineLevel="0" collapsed="false">
      <c r="A26" s="3" t="s">
        <v>57</v>
      </c>
      <c r="B26" s="3" t="s">
        <v>58</v>
      </c>
      <c r="C26" s="3" t="s">
        <v>14</v>
      </c>
      <c r="D26" s="3" t="s">
        <v>19</v>
      </c>
      <c r="E26" s="3" t="n">
        <v>29</v>
      </c>
      <c r="F26" s="3" t="n">
        <v>23</v>
      </c>
      <c r="G26" s="3" t="n">
        <v>1</v>
      </c>
      <c r="H26" s="3" t="n">
        <v>1</v>
      </c>
      <c r="I26" s="3" t="n">
        <v>1</v>
      </c>
      <c r="J26" s="3" t="s">
        <v>23</v>
      </c>
      <c r="K26" s="3" t="str">
        <f aca="false">IF(OR(E26&gt;Univariate!$B$10,E26&lt;Univariate!$B$11),"Outlier","")</f>
        <v/>
      </c>
    </row>
    <row r="27" customFormat="false" ht="15" hidden="false" customHeight="false" outlineLevel="0" collapsed="false">
      <c r="A27" s="3" t="s">
        <v>57</v>
      </c>
      <c r="B27" s="3" t="s">
        <v>59</v>
      </c>
      <c r="C27" s="3" t="s">
        <v>18</v>
      </c>
      <c r="D27" s="3" t="s">
        <v>26</v>
      </c>
      <c r="E27" s="3" t="n">
        <v>63</v>
      </c>
      <c r="F27" s="3" t="n">
        <v>39</v>
      </c>
      <c r="G27" s="3" t="n">
        <v>6</v>
      </c>
      <c r="H27" s="3" t="n">
        <v>2</v>
      </c>
      <c r="I27" s="3" t="n">
        <v>0</v>
      </c>
      <c r="J27" s="3" t="s">
        <v>16</v>
      </c>
      <c r="K27" s="3" t="str">
        <f aca="false">IF(OR(E27&gt;Univariate!$B$10,E27&lt;Univariate!$B$11),"Outlier","")</f>
        <v/>
      </c>
    </row>
    <row r="28" customFormat="false" ht="15" hidden="false" customHeight="false" outlineLevel="0" collapsed="false">
      <c r="A28" s="3" t="s">
        <v>60</v>
      </c>
      <c r="B28" s="3" t="s">
        <v>61</v>
      </c>
      <c r="C28" s="3" t="s">
        <v>22</v>
      </c>
      <c r="D28" s="3" t="s">
        <v>19</v>
      </c>
      <c r="E28" s="3" t="n">
        <v>109</v>
      </c>
      <c r="F28" s="3" t="n">
        <v>58</v>
      </c>
      <c r="G28" s="3" t="n">
        <v>10</v>
      </c>
      <c r="H28" s="3" t="n">
        <v>8</v>
      </c>
      <c r="I28" s="3" t="n">
        <v>1</v>
      </c>
      <c r="J28" s="3" t="s">
        <v>23</v>
      </c>
      <c r="K28" s="3" t="str">
        <f aca="false">IF(OR(E28&gt;Univariate!$B$10,E28&lt;Univariate!$B$11),"Outlier","")</f>
        <v>Outlier</v>
      </c>
    </row>
    <row r="29" customFormat="false" ht="15" hidden="false" customHeight="false" outlineLevel="0" collapsed="false">
      <c r="A29" s="3" t="s">
        <v>60</v>
      </c>
      <c r="B29" s="3" t="s">
        <v>62</v>
      </c>
      <c r="C29" s="3" t="s">
        <v>25</v>
      </c>
      <c r="D29" s="3" t="s">
        <v>19</v>
      </c>
      <c r="E29" s="3" t="n">
        <v>15</v>
      </c>
      <c r="F29" s="3" t="n">
        <v>11</v>
      </c>
      <c r="G29" s="3" t="n">
        <v>1</v>
      </c>
      <c r="H29" s="3" t="n">
        <v>0</v>
      </c>
      <c r="I29" s="3" t="n">
        <v>3</v>
      </c>
      <c r="J29" s="3" t="s">
        <v>16</v>
      </c>
      <c r="K29" s="3" t="str">
        <f aca="false">IF(OR(E29&gt;Univariate!$B$10,E29&lt;Univariate!$B$11),"Outlier","")</f>
        <v/>
      </c>
    </row>
    <row r="30" customFormat="false" ht="15" hidden="false" customHeight="false" outlineLevel="0" collapsed="false">
      <c r="A30" s="3" t="s">
        <v>63</v>
      </c>
      <c r="B30" s="3" t="s">
        <v>64</v>
      </c>
      <c r="C30" s="3" t="s">
        <v>14</v>
      </c>
      <c r="D30" s="3" t="s">
        <v>26</v>
      </c>
      <c r="E30" s="3" t="n">
        <v>43</v>
      </c>
      <c r="F30" s="3" t="n">
        <v>33</v>
      </c>
      <c r="G30" s="3" t="n">
        <v>3</v>
      </c>
      <c r="H30" s="3" t="n">
        <v>1</v>
      </c>
      <c r="I30" s="3" t="n">
        <v>0</v>
      </c>
      <c r="J30" s="3" t="s">
        <v>16</v>
      </c>
      <c r="K30" s="3" t="str">
        <f aca="false">IF(OR(E30&gt;Univariate!$B$10,E30&lt;Univariate!$B$11),"Outlier","")</f>
        <v/>
      </c>
    </row>
    <row r="31" customFormat="false" ht="15" hidden="false" customHeight="false" outlineLevel="0" collapsed="false">
      <c r="A31" s="3" t="s">
        <v>63</v>
      </c>
      <c r="B31" s="3" t="s">
        <v>65</v>
      </c>
      <c r="C31" s="3" t="s">
        <v>18</v>
      </c>
      <c r="D31" s="3" t="s">
        <v>15</v>
      </c>
      <c r="E31" s="3" t="n">
        <v>6</v>
      </c>
      <c r="F31" s="3" t="n">
        <v>4</v>
      </c>
      <c r="G31" s="3" t="n">
        <v>0</v>
      </c>
      <c r="H31" s="3" t="n">
        <v>0</v>
      </c>
      <c r="I31" s="3" t="n">
        <v>0</v>
      </c>
      <c r="J31" s="3" t="s">
        <v>23</v>
      </c>
      <c r="K31" s="3" t="str">
        <f aca="false">IF(OR(E31&gt;Univariate!$B$10,E31&lt;Univariate!$B$11),"Outlier","")</f>
        <v/>
      </c>
    </row>
    <row r="32" customFormat="false" ht="15" hidden="false" customHeight="false" outlineLevel="0" collapsed="false">
      <c r="A32" s="3" t="s">
        <v>66</v>
      </c>
      <c r="B32" s="3" t="s">
        <v>67</v>
      </c>
      <c r="C32" s="3" t="s">
        <v>22</v>
      </c>
      <c r="D32" s="3" t="s">
        <v>19</v>
      </c>
      <c r="E32" s="3" t="n">
        <v>74</v>
      </c>
      <c r="F32" s="3" t="n">
        <v>53</v>
      </c>
      <c r="G32" s="3" t="n">
        <v>5</v>
      </c>
      <c r="H32" s="3" t="n">
        <v>1</v>
      </c>
      <c r="I32" s="3" t="n">
        <v>0</v>
      </c>
      <c r="J32" s="3" t="s">
        <v>23</v>
      </c>
      <c r="K32" s="3" t="str">
        <f aca="false">IF(OR(E32&gt;Univariate!$B$10,E32&lt;Univariate!$B$11),"Outlier","")</f>
        <v/>
      </c>
    </row>
    <row r="33" customFormat="false" ht="15" hidden="false" customHeight="false" outlineLevel="0" collapsed="false">
      <c r="A33" s="3" t="s">
        <v>66</v>
      </c>
      <c r="B33" s="3" t="s">
        <v>68</v>
      </c>
      <c r="C33" s="3" t="s">
        <v>25</v>
      </c>
      <c r="D33" s="3" t="s">
        <v>26</v>
      </c>
      <c r="E33" s="3" t="n">
        <v>28</v>
      </c>
      <c r="F33" s="3" t="n">
        <v>19</v>
      </c>
      <c r="G33" s="3" t="n">
        <v>3</v>
      </c>
      <c r="H33" s="3" t="n">
        <v>1</v>
      </c>
      <c r="I33" s="3" t="n">
        <v>0</v>
      </c>
      <c r="J33" s="3" t="s">
        <v>23</v>
      </c>
      <c r="K33" s="3" t="str">
        <f aca="false">IF(OR(E33&gt;Univariate!$B$10,E33&lt;Univariate!$B$11),"Outlier","")</f>
        <v/>
      </c>
    </row>
    <row r="34" customFormat="false" ht="15" hidden="false" customHeight="false" outlineLevel="0" collapsed="false">
      <c r="A34" s="3" t="s">
        <v>69</v>
      </c>
      <c r="B34" s="3" t="s">
        <v>70</v>
      </c>
      <c r="C34" s="3" t="s">
        <v>14</v>
      </c>
      <c r="D34" s="3" t="s">
        <v>19</v>
      </c>
      <c r="E34" s="3" t="n">
        <v>18</v>
      </c>
      <c r="F34" s="3" t="n">
        <v>10</v>
      </c>
      <c r="G34" s="3" t="n">
        <v>1</v>
      </c>
      <c r="H34" s="3" t="n">
        <v>0</v>
      </c>
      <c r="I34" s="3" t="n">
        <v>2</v>
      </c>
      <c r="J34" s="3" t="s">
        <v>16</v>
      </c>
      <c r="K34" s="3" t="str">
        <f aca="false">IF(OR(E34&gt;Univariate!$B$10,E34&lt;Univariate!$B$11),"Outlier","")</f>
        <v/>
      </c>
    </row>
    <row r="35" customFormat="false" ht="15" hidden="false" customHeight="false" outlineLevel="0" collapsed="false">
      <c r="A35" s="3" t="s">
        <v>69</v>
      </c>
      <c r="B35" s="3" t="s">
        <v>71</v>
      </c>
      <c r="C35" s="3" t="s">
        <v>18</v>
      </c>
      <c r="D35" s="3" t="s">
        <v>15</v>
      </c>
      <c r="E35" s="3" t="n">
        <v>52</v>
      </c>
      <c r="F35" s="3" t="n">
        <v>29</v>
      </c>
      <c r="G35" s="3" t="n">
        <v>4</v>
      </c>
      <c r="H35" s="3" t="n">
        <v>1</v>
      </c>
      <c r="I35" s="3" t="n">
        <v>0</v>
      </c>
      <c r="J35" s="3" t="s">
        <v>23</v>
      </c>
      <c r="K35" s="3" t="str">
        <f aca="false">IF(OR(E35&gt;Univariate!$B$10,E35&lt;Univariate!$B$11),"Outlier","")</f>
        <v/>
      </c>
    </row>
    <row r="36" customFormat="false" ht="15" hidden="false" customHeight="false" outlineLevel="0" collapsed="false">
      <c r="A36" s="3" t="s">
        <v>72</v>
      </c>
      <c r="B36" s="3" t="s">
        <v>73</v>
      </c>
      <c r="C36" s="3" t="s">
        <v>22</v>
      </c>
      <c r="D36" s="3" t="s">
        <v>15</v>
      </c>
      <c r="E36" s="3" t="n">
        <v>2</v>
      </c>
      <c r="F36" s="3" t="n">
        <v>2</v>
      </c>
      <c r="G36" s="3" t="n">
        <v>0</v>
      </c>
      <c r="H36" s="3" t="n">
        <v>0</v>
      </c>
      <c r="I36" s="3" t="n">
        <v>0</v>
      </c>
      <c r="J36" s="3" t="s">
        <v>23</v>
      </c>
      <c r="K36" s="3" t="str">
        <f aca="false">IF(OR(E36&gt;Univariate!$B$10,E36&lt;Univariate!$B$11),"Outlier","")</f>
        <v/>
      </c>
    </row>
    <row r="37" customFormat="false" ht="15" hidden="false" customHeight="false" outlineLevel="0" collapsed="false">
      <c r="A37" s="3" t="s">
        <v>72</v>
      </c>
      <c r="B37" s="3" t="s">
        <v>74</v>
      </c>
      <c r="C37" s="3" t="s">
        <v>25</v>
      </c>
      <c r="D37" s="3" t="s">
        <v>19</v>
      </c>
      <c r="E37" s="3" t="n">
        <v>55</v>
      </c>
      <c r="F37" s="3" t="n">
        <v>44</v>
      </c>
      <c r="G37" s="3" t="n">
        <v>5</v>
      </c>
      <c r="H37" s="3" t="n">
        <v>2</v>
      </c>
      <c r="I37" s="3" t="n">
        <v>2</v>
      </c>
      <c r="J37" s="3" t="s">
        <v>23</v>
      </c>
      <c r="K37" s="3" t="str">
        <f aca="false">IF(OR(E37&gt;Univariate!$B$10,E37&lt;Univariate!$B$11),"Outlier","")</f>
        <v/>
      </c>
    </row>
    <row r="38" customFormat="false" ht="15" hidden="false" customHeight="false" outlineLevel="0" collapsed="false">
      <c r="A38" s="3" t="s">
        <v>75</v>
      </c>
      <c r="B38" s="3" t="s">
        <v>76</v>
      </c>
      <c r="C38" s="3" t="s">
        <v>14</v>
      </c>
      <c r="D38" s="3" t="s">
        <v>26</v>
      </c>
      <c r="E38" s="3" t="n">
        <v>23</v>
      </c>
      <c r="F38" s="3" t="n">
        <v>20</v>
      </c>
      <c r="G38" s="3" t="n">
        <v>2</v>
      </c>
      <c r="H38" s="3" t="n">
        <v>0</v>
      </c>
      <c r="I38" s="3" t="n">
        <v>1</v>
      </c>
      <c r="J38" s="3" t="s">
        <v>16</v>
      </c>
      <c r="K38" s="3" t="str">
        <f aca="false">IF(OR(E38&gt;Univariate!$B$10,E38&lt;Univariate!$B$11),"Outlier","")</f>
        <v/>
      </c>
    </row>
    <row r="39" customFormat="false" ht="15" hidden="false" customHeight="false" outlineLevel="0" collapsed="false">
      <c r="A39" s="3" t="s">
        <v>75</v>
      </c>
      <c r="B39" s="3" t="s">
        <v>77</v>
      </c>
      <c r="C39" s="3" t="s">
        <v>18</v>
      </c>
      <c r="D39" s="3" t="s">
        <v>15</v>
      </c>
      <c r="E39" s="3" t="n">
        <v>29</v>
      </c>
      <c r="F39" s="3" t="n">
        <v>16</v>
      </c>
      <c r="G39" s="3" t="n">
        <v>2</v>
      </c>
      <c r="H39" s="3" t="n">
        <v>1</v>
      </c>
      <c r="I39" s="3" t="n">
        <v>0</v>
      </c>
      <c r="J39" s="3" t="s">
        <v>23</v>
      </c>
      <c r="K39" s="3" t="str">
        <f aca="false">IF(OR(E39&gt;Univariate!$B$10,E39&lt;Univariate!$B$11),"Outlier","")</f>
        <v/>
      </c>
    </row>
    <row r="40" customFormat="false" ht="15" hidden="false" customHeight="false" outlineLevel="0" collapsed="false">
      <c r="A40" s="3" t="s">
        <v>78</v>
      </c>
      <c r="B40" s="3" t="s">
        <v>79</v>
      </c>
      <c r="C40" s="3" t="s">
        <v>22</v>
      </c>
      <c r="D40" s="3" t="s">
        <v>26</v>
      </c>
      <c r="E40" s="3" t="n">
        <v>28</v>
      </c>
      <c r="F40" s="3" t="n">
        <v>18</v>
      </c>
      <c r="G40" s="3" t="n">
        <v>2</v>
      </c>
      <c r="H40" s="3" t="n">
        <v>0</v>
      </c>
      <c r="I40" s="3" t="n">
        <v>0</v>
      </c>
      <c r="J40" s="3" t="s">
        <v>16</v>
      </c>
      <c r="K40" s="3" t="str">
        <f aca="false">IF(OR(E40&gt;Univariate!$B$10,E40&lt;Univariate!$B$11),"Outlier","")</f>
        <v/>
      </c>
    </row>
    <row r="41" customFormat="false" ht="15" hidden="false" customHeight="false" outlineLevel="0" collapsed="false">
      <c r="A41" s="3" t="s">
        <v>78</v>
      </c>
      <c r="B41" s="3" t="s">
        <v>80</v>
      </c>
      <c r="C41" s="3" t="s">
        <v>25</v>
      </c>
      <c r="D41" s="3" t="s">
        <v>19</v>
      </c>
      <c r="E41" s="3" t="n">
        <v>44</v>
      </c>
      <c r="F41" s="3" t="n">
        <v>31</v>
      </c>
      <c r="G41" s="3" t="n">
        <v>3</v>
      </c>
      <c r="H41" s="3" t="n">
        <v>1</v>
      </c>
      <c r="I41" s="3" t="n">
        <v>1</v>
      </c>
      <c r="J41" s="3" t="s">
        <v>23</v>
      </c>
      <c r="K41" s="3" t="str">
        <f aca="false">IF(OR(E41&gt;Univariate!$B$10,E41&lt;Univariate!$B$11),"Outlier","")</f>
        <v/>
      </c>
    </row>
  </sheetData>
  <autoFilter ref="A1:K41"/>
  <conditionalFormatting sqref="E2:E41">
    <cfRule type="expression" priority="2" aboveAverage="0" equalAverage="0" bottom="0" percent="0" rank="0" text="" dxfId="5">
      <formula>E2&gt;Univariate!$B$10</formula>
    </cfRule>
    <cfRule type="expression" priority="3" aboveAverage="0" equalAverage="0" bottom="0" percent="0" rank="0" text="" dxfId="6">
      <formula>E2&lt;Univariate!$B$11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81</v>
      </c>
      <c r="B1" s="1" t="s">
        <v>82</v>
      </c>
    </row>
    <row r="2" customFormat="false" ht="15" hidden="false" customHeight="false" outlineLevel="0" collapsed="false">
      <c r="A2" s="3" t="s">
        <v>83</v>
      </c>
      <c r="B2" s="4" t="n">
        <f aca="false">COUNT(Data!$E$2:$E$41)</f>
        <v>40</v>
      </c>
    </row>
    <row r="3" customFormat="false" ht="15" hidden="false" customHeight="false" outlineLevel="0" collapsed="false">
      <c r="A3" s="3" t="s">
        <v>84</v>
      </c>
      <c r="B3" s="5" t="n">
        <f aca="false">AVERAGE(Data!$E$2:$E$41)</f>
        <v>33.725</v>
      </c>
    </row>
    <row r="4" customFormat="false" ht="15" hidden="false" customHeight="false" outlineLevel="0" collapsed="false">
      <c r="A4" s="3" t="s">
        <v>85</v>
      </c>
      <c r="B4" s="5" t="n">
        <f aca="false">MEDIAN(Data!$E$2:$E$41)</f>
        <v>28</v>
      </c>
    </row>
    <row r="5" customFormat="false" ht="15" hidden="false" customHeight="false" outlineLevel="0" collapsed="false">
      <c r="A5" s="3" t="s">
        <v>86</v>
      </c>
      <c r="B5" s="5" t="n">
        <f aca="false">MIN(Data!$E$2:$E$41)</f>
        <v>2</v>
      </c>
    </row>
    <row r="6" customFormat="false" ht="15" hidden="false" customHeight="false" outlineLevel="0" collapsed="false">
      <c r="A6" s="3" t="s">
        <v>87</v>
      </c>
      <c r="B6" s="5" t="n">
        <f aca="false">MAX(Data!$E$2:$E$41)</f>
        <v>118</v>
      </c>
    </row>
    <row r="7" customFormat="false" ht="15" hidden="false" customHeight="false" outlineLevel="0" collapsed="false">
      <c r="A7" s="3" t="s">
        <v>88</v>
      </c>
      <c r="B7" s="5" t="n">
        <f aca="false">STDEV(Data!$E$2:$E$41)</f>
        <v>25.2556035924805</v>
      </c>
    </row>
    <row r="8" customFormat="false" ht="15" hidden="false" customHeight="false" outlineLevel="0" collapsed="false">
      <c r="A8" s="3" t="s">
        <v>89</v>
      </c>
      <c r="B8" s="5" t="n">
        <f aca="false">B6-B5</f>
        <v>116</v>
      </c>
    </row>
    <row r="10" customFormat="false" ht="15" hidden="false" customHeight="false" outlineLevel="0" collapsed="false">
      <c r="A10" s="6" t="s">
        <v>90</v>
      </c>
      <c r="B10" s="5" t="n">
        <f aca="false">B3+2*B7</f>
        <v>84.236207184961</v>
      </c>
    </row>
    <row r="11" customFormat="false" ht="15" hidden="false" customHeight="false" outlineLevel="0" collapsed="false">
      <c r="A11" s="6" t="s">
        <v>91</v>
      </c>
      <c r="B11" s="5" t="n">
        <f aca="false">B3-2*B7</f>
        <v>-16.786207184961</v>
      </c>
    </row>
    <row r="12" customFormat="false" ht="15" hidden="false" customHeight="false" outlineLevel="0" collapsed="false">
      <c r="A12" s="6" t="s">
        <v>92</v>
      </c>
      <c r="B12" s="4" t="n">
        <f aca="false">COUNTIF(Data!$K$2:$K$41,"Outlier")</f>
        <v>2</v>
      </c>
    </row>
    <row r="14" customFormat="false" ht="15" hidden="false" customHeight="false" outlineLevel="0" collapsed="false">
      <c r="A14" s="2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7" t="s">
        <v>94</v>
      </c>
      <c r="D1" s="8" t="n">
        <f aca="false">CORREL(Data!F2:F41,Data!E2:E41)</f>
        <v>0.954079401654273</v>
      </c>
    </row>
    <row r="2" customFormat="false" ht="15" hidden="false" customHeight="false" outlineLevel="0" collapsed="false">
      <c r="A2" s="2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26"/>
  </cols>
  <sheetData>
    <row r="1" customFormat="false" ht="15" hidden="false" customHeight="false" outlineLevel="0" collapsed="false">
      <c r="A1" s="9" t="s">
        <v>96</v>
      </c>
    </row>
    <row r="2" customFormat="false" ht="26.85" hidden="false" customHeight="false" outlineLevel="0" collapsed="false">
      <c r="A2" s="1" t="s">
        <v>97</v>
      </c>
      <c r="B2" s="1" t="s">
        <v>26</v>
      </c>
      <c r="C2" s="1" t="s">
        <v>15</v>
      </c>
      <c r="D2" s="1" t="s">
        <v>19</v>
      </c>
      <c r="E2" s="1" t="s">
        <v>98</v>
      </c>
    </row>
    <row r="3" customFormat="false" ht="15" hidden="false" customHeight="false" outlineLevel="0" collapsed="false">
      <c r="A3" s="6" t="s">
        <v>14</v>
      </c>
      <c r="B3" s="10" t="n">
        <f aca="false">IFERROR(AVERAGEIFS(Data!$E$2:$E$41,Data!$C$2:$C$41,$A3,Data!$D$2:$D$41,B$2),0)</f>
        <v>33.2</v>
      </c>
      <c r="C3" s="10" t="n">
        <f aca="false">IFERROR(AVERAGEIFS(Data!$E$2:$E$41,Data!$C$2:$C$41,$A3,Data!$D$2:$D$41,C$2),0)</f>
        <v>34</v>
      </c>
      <c r="D3" s="10" t="n">
        <f aca="false">IFERROR(AVERAGEIFS(Data!$E$2:$E$41,Data!$C$2:$C$41,$A3,Data!$D$2:$D$41,D$2),0)</f>
        <v>23.5</v>
      </c>
      <c r="E3" s="10" t="n">
        <f aca="false">IFERROR(AVERAGEIFS(Data!$E$2:$E$41,Data!$C$2:$C$41,$A3),0)</f>
        <v>31.5</v>
      </c>
    </row>
    <row r="4" customFormat="false" ht="15" hidden="false" customHeight="false" outlineLevel="0" collapsed="false">
      <c r="A4" s="6" t="s">
        <v>18</v>
      </c>
      <c r="B4" s="10" t="n">
        <f aca="false">IFERROR(AVERAGEIFS(Data!$E$2:$E$41,Data!$C$2:$C$41,$A4,Data!$D$2:$D$41,B$2),0)</f>
        <v>90.5</v>
      </c>
      <c r="C4" s="10" t="n">
        <f aca="false">IFERROR(AVERAGEIFS(Data!$E$2:$E$41,Data!$C$2:$C$41,$A4,Data!$D$2:$D$41,C$2),0)</f>
        <v>25.1666666666667</v>
      </c>
      <c r="D4" s="10" t="n">
        <f aca="false">IFERROR(AVERAGEIFS(Data!$E$2:$E$41,Data!$C$2:$C$41,$A4,Data!$D$2:$D$41,D$2),0)</f>
        <v>28</v>
      </c>
      <c r="E4" s="10" t="n">
        <f aca="false">IFERROR(AVERAGEIFS(Data!$E$2:$E$41,Data!$C$2:$C$41,$A4),0)</f>
        <v>38.8</v>
      </c>
    </row>
    <row r="5" customFormat="false" ht="15" hidden="false" customHeight="false" outlineLevel="0" collapsed="false">
      <c r="A5" s="6" t="s">
        <v>22</v>
      </c>
      <c r="B5" s="10" t="n">
        <f aca="false">IFERROR(AVERAGEIFS(Data!$E$2:$E$41,Data!$C$2:$C$41,$A5,Data!$D$2:$D$41,B$2),0)</f>
        <v>26</v>
      </c>
      <c r="C5" s="10" t="n">
        <f aca="false">IFERROR(AVERAGEIFS(Data!$E$2:$E$41,Data!$C$2:$C$41,$A5,Data!$D$2:$D$41,C$2),0)</f>
        <v>24.75</v>
      </c>
      <c r="D5" s="10" t="n">
        <f aca="false">IFERROR(AVERAGEIFS(Data!$E$2:$E$41,Data!$C$2:$C$41,$A5,Data!$D$2:$D$41,D$2),0)</f>
        <v>50</v>
      </c>
      <c r="E5" s="10" t="n">
        <f aca="false">IFERROR(AVERAGEIFS(Data!$E$2:$E$41,Data!$C$2:$C$41,$A5),0)</f>
        <v>35.1</v>
      </c>
    </row>
    <row r="6" customFormat="false" ht="15" hidden="false" customHeight="false" outlineLevel="0" collapsed="false">
      <c r="A6" s="6" t="s">
        <v>25</v>
      </c>
      <c r="B6" s="10" t="n">
        <f aca="false">IFERROR(AVERAGEIFS(Data!$E$2:$E$41,Data!$C$2:$C$41,$A6,Data!$D$2:$D$41,B$2),0)</f>
        <v>29.6666666666667</v>
      </c>
      <c r="C6" s="10" t="n">
        <f aca="false">IFERROR(AVERAGEIFS(Data!$E$2:$E$41,Data!$C$2:$C$41,$A6,Data!$D$2:$D$41,C$2),0)</f>
        <v>30</v>
      </c>
      <c r="D6" s="10" t="n">
        <f aca="false">IFERROR(AVERAGEIFS(Data!$E$2:$E$41,Data!$C$2:$C$41,$A6,Data!$D$2:$D$41,D$2),0)</f>
        <v>29.2</v>
      </c>
      <c r="E6" s="10" t="n">
        <f aca="false">IFERROR(AVERAGEIFS(Data!$E$2:$E$41,Data!$C$2:$C$41,$A6),0)</f>
        <v>29.5</v>
      </c>
    </row>
    <row r="7" customFormat="false" ht="15" hidden="false" customHeight="false" outlineLevel="0" collapsed="false">
      <c r="A7" s="6" t="s">
        <v>99</v>
      </c>
      <c r="B7" s="11" t="n">
        <f aca="false">IFERROR(AVERAGEIFS(Data!$E$2:$E$41,Data!$D$2:$D$41,B$2),0)</f>
        <v>40.6666666666667</v>
      </c>
      <c r="C7" s="11" t="n">
        <f aca="false">IFERROR(AVERAGEIFS(Data!$E$2:$E$41,Data!$D$2:$D$41,C$2),0)</f>
        <v>27.4666666666667</v>
      </c>
      <c r="D7" s="11" t="n">
        <f aca="false">IFERROR(AVERAGEIFS(Data!$E$2:$E$41,Data!$D$2:$D$41,D$2),0)</f>
        <v>34.5384615384615</v>
      </c>
      <c r="E7" s="11" t="n">
        <f aca="false">AVERAGE(Data!$E$2:$E$41)</f>
        <v>33.725</v>
      </c>
    </row>
    <row r="10" customFormat="false" ht="15" hidden="false" customHeight="false" outlineLevel="0" collapsed="false">
      <c r="A10" s="9" t="s">
        <v>100</v>
      </c>
    </row>
    <row r="11" customFormat="false" ht="26.85" hidden="false" customHeight="false" outlineLevel="0" collapsed="false">
      <c r="A11" s="1" t="s">
        <v>97</v>
      </c>
      <c r="B11" s="1" t="s">
        <v>26</v>
      </c>
      <c r="C11" s="1" t="s">
        <v>15</v>
      </c>
      <c r="D11" s="1" t="s">
        <v>19</v>
      </c>
      <c r="E11" s="1" t="s">
        <v>98</v>
      </c>
    </row>
    <row r="12" customFormat="false" ht="15" hidden="false" customHeight="false" outlineLevel="0" collapsed="false">
      <c r="A12" s="6" t="s">
        <v>14</v>
      </c>
      <c r="B12" s="4" t="n">
        <f aca="false">SUMIFS(Data!$E$2:$E$41,Data!$C$2:$C$41,$A12,Data!$D$2:$D$41,B$11)</f>
        <v>166</v>
      </c>
      <c r="C12" s="4" t="n">
        <f aca="false">SUMIFS(Data!$E$2:$E$41,Data!$C$2:$C$41,$A12,Data!$D$2:$D$41,C$11)</f>
        <v>102</v>
      </c>
      <c r="D12" s="4" t="n">
        <f aca="false">SUMIFS(Data!$E$2:$E$41,Data!$C$2:$C$41,$A12,Data!$D$2:$D$41,D$11)</f>
        <v>47</v>
      </c>
      <c r="E12" s="4" t="n">
        <f aca="false">SUMIFS(Data!$E$2:$E$41,Data!$C$2:$C$41,$A12)</f>
        <v>315</v>
      </c>
    </row>
    <row r="13" customFormat="false" ht="15" hidden="false" customHeight="false" outlineLevel="0" collapsed="false">
      <c r="A13" s="6" t="s">
        <v>18</v>
      </c>
      <c r="B13" s="4" t="n">
        <f aca="false">SUMIFS(Data!$E$2:$E$41,Data!$C$2:$C$41,$A13,Data!$D$2:$D$41,B$11)</f>
        <v>181</v>
      </c>
      <c r="C13" s="4" t="n">
        <f aca="false">SUMIFS(Data!$E$2:$E$41,Data!$C$2:$C$41,$A13,Data!$D$2:$D$41,C$11)</f>
        <v>151</v>
      </c>
      <c r="D13" s="4" t="n">
        <f aca="false">SUMIFS(Data!$E$2:$E$41,Data!$C$2:$C$41,$A13,Data!$D$2:$D$41,D$11)</f>
        <v>56</v>
      </c>
      <c r="E13" s="4" t="n">
        <f aca="false">SUMIFS(Data!$E$2:$E$41,Data!$C$2:$C$41,$A13)</f>
        <v>388</v>
      </c>
    </row>
    <row r="14" customFormat="false" ht="15" hidden="false" customHeight="false" outlineLevel="0" collapsed="false">
      <c r="A14" s="6" t="s">
        <v>22</v>
      </c>
      <c r="B14" s="4" t="n">
        <f aca="false">SUMIFS(Data!$E$2:$E$41,Data!$C$2:$C$41,$A14,Data!$D$2:$D$41,B$11)</f>
        <v>52</v>
      </c>
      <c r="C14" s="4" t="n">
        <f aca="false">SUMIFS(Data!$E$2:$E$41,Data!$C$2:$C$41,$A14,Data!$D$2:$D$41,C$11)</f>
        <v>99</v>
      </c>
      <c r="D14" s="4" t="n">
        <f aca="false">SUMIFS(Data!$E$2:$E$41,Data!$C$2:$C$41,$A14,Data!$D$2:$D$41,D$11)</f>
        <v>200</v>
      </c>
      <c r="E14" s="4" t="n">
        <f aca="false">SUMIFS(Data!$E$2:$E$41,Data!$C$2:$C$41,$A14)</f>
        <v>351</v>
      </c>
    </row>
    <row r="15" customFormat="false" ht="15" hidden="false" customHeight="false" outlineLevel="0" collapsed="false">
      <c r="A15" s="6" t="s">
        <v>25</v>
      </c>
      <c r="B15" s="4" t="n">
        <f aca="false">SUMIFS(Data!$E$2:$E$41,Data!$C$2:$C$41,$A15,Data!$D$2:$D$41,B$11)</f>
        <v>89</v>
      </c>
      <c r="C15" s="4" t="n">
        <f aca="false">SUMIFS(Data!$E$2:$E$41,Data!$C$2:$C$41,$A15,Data!$D$2:$D$41,C$11)</f>
        <v>60</v>
      </c>
      <c r="D15" s="4" t="n">
        <f aca="false">SUMIFS(Data!$E$2:$E$41,Data!$C$2:$C$41,$A15,Data!$D$2:$D$41,D$11)</f>
        <v>146</v>
      </c>
      <c r="E15" s="4" t="n">
        <f aca="false">SUMIFS(Data!$E$2:$E$41,Data!$C$2:$C$41,$A15)</f>
        <v>295</v>
      </c>
    </row>
    <row r="16" customFormat="false" ht="15" hidden="false" customHeight="false" outlineLevel="0" collapsed="false">
      <c r="A16" s="6" t="s">
        <v>99</v>
      </c>
      <c r="B16" s="12" t="n">
        <f aca="false">SUMIFS(Data!$E$2:$E$41,Data!$D$2:$D$41,B$11)</f>
        <v>488</v>
      </c>
      <c r="C16" s="12" t="n">
        <f aca="false">SUMIFS(Data!$E$2:$E$41,Data!$D$2:$D$41,C$11)</f>
        <v>412</v>
      </c>
      <c r="D16" s="12" t="n">
        <f aca="false">SUMIFS(Data!$E$2:$E$41,Data!$D$2:$D$41,D$11)</f>
        <v>449</v>
      </c>
      <c r="E16" s="12" t="n">
        <f aca="false">SUM(Data!$E$2:$E$41)</f>
        <v>1349</v>
      </c>
    </row>
    <row r="18" customFormat="false" ht="15" hidden="false" customHeight="false" outlineLevel="0" collapsed="false">
      <c r="A18" s="2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2026-10-14T07:34:21Z</dcterms:created>
  <dc:creator>openpyxl</dc:creator>
  <dc:description/>
  <dc:language>en-US</dc:language>
  <cp:lastModifiedBy/>
  <dcterms:modified xsi:type="dcterms:W3CDTF">2026-10-14T07:34:24Z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